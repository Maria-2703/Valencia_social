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codeName="ThisWorkbook"/>
  <xr:revisionPtr revIDLastSave="0" documentId="13_ncr:1_{9ED89053-5200-4EAF-98C1-3062DCFCA3AE}" xr6:coauthVersionLast="47" xr6:coauthVersionMax="47" xr10:uidLastSave="{00000000-0000-0000-0000-000000000000}"/>
  <bookViews>
    <workbookView xWindow="-98" yWindow="-98" windowWidth="21795" windowHeight="12975" xr2:uid="{00000000-000D-0000-FFFF-FFFF00000000}"/>
  </bookViews>
  <sheets>
    <sheet name="ProjectSchedule" sheetId="11" r:id="rId1"/>
  </sheets>
  <definedNames>
    <definedName name="hoy" localSheetId="0">TODAY()</definedName>
    <definedName name="Inicio_del_proyecto">ProjectSchedule!$E$3</definedName>
    <definedName name="Semana_para_mostrar">ProjectSchedule!$E$4</definedName>
    <definedName name="task_end" localSheetId="0">ProjectSchedule!$F1</definedName>
    <definedName name="task_progress" localSheetId="0">ProjectSchedule!$D1</definedName>
    <definedName name="task_start" localSheetId="0">ProjectSchedule!$E1</definedName>
    <definedName name="_xlnm.Print_Titles" localSheetId="0">ProjectSchedule!$4:$6</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1" i="11" l="1"/>
  <c r="E3" i="11"/>
  <c r="F22" i="11" l="1"/>
  <c r="F23" i="11" s="1"/>
  <c r="E21" i="11"/>
  <c r="E17" i="11"/>
  <c r="F17" i="11" s="1"/>
  <c r="H7" i="11"/>
  <c r="E9" i="11" l="1"/>
  <c r="E22" i="11" s="1"/>
  <c r="E23" i="11" s="1"/>
  <c r="F12" i="11"/>
  <c r="E18" i="11"/>
  <c r="E8" i="11"/>
  <c r="I5" i="11"/>
  <c r="H24" i="11"/>
  <c r="F9" i="11" l="1"/>
  <c r="E10" i="11" s="1"/>
  <c r="E20" i="11"/>
  <c r="F20" i="11" s="1"/>
  <c r="E19" i="11"/>
  <c r="F19" i="11" s="1"/>
  <c r="H19" i="11"/>
  <c r="I6" i="11"/>
  <c r="H9" i="11" l="1"/>
  <c r="H23" i="11"/>
  <c r="F10" i="11"/>
  <c r="E11" i="11" s="1"/>
  <c r="F11" i="11" s="1"/>
  <c r="E12" i="11" s="1"/>
  <c r="E15" i="11" s="1"/>
  <c r="F18" i="11"/>
  <c r="H18" i="11" s="1"/>
  <c r="H20" i="11"/>
  <c r="H21" i="11"/>
  <c r="H22" i="11"/>
  <c r="J5" i="11"/>
  <c r="K5" i="11" s="1"/>
  <c r="L5" i="11" s="1"/>
  <c r="M5" i="11" s="1"/>
  <c r="N5" i="11" s="1"/>
  <c r="O5" i="11" s="1"/>
  <c r="P5" i="11" s="1"/>
  <c r="I4" i="11"/>
  <c r="E13" i="11" l="1"/>
  <c r="E14" i="11" s="1"/>
  <c r="F8" i="11"/>
  <c r="H8" i="11" s="1"/>
  <c r="H11" i="11"/>
  <c r="P4" i="11"/>
  <c r="Q5" i="11"/>
  <c r="R5" i="11" s="1"/>
  <c r="S5" i="11" s="1"/>
  <c r="T5" i="11" s="1"/>
  <c r="U5" i="11" s="1"/>
  <c r="V5" i="11" s="1"/>
  <c r="W5" i="11" s="1"/>
  <c r="J6" i="11"/>
  <c r="H10" i="11" l="1"/>
  <c r="W4" i="11"/>
  <c r="X5" i="11"/>
  <c r="Y5" i="11" s="1"/>
  <c r="Z5" i="11" s="1"/>
  <c r="AA5" i="11" s="1"/>
  <c r="AB5" i="11" s="1"/>
  <c r="AC5" i="11" s="1"/>
  <c r="AD5" i="11" s="1"/>
  <c r="K6" i="11"/>
  <c r="AE5" i="11" l="1"/>
  <c r="AF5" i="11" s="1"/>
  <c r="AG5" i="11" s="1"/>
  <c r="AH5" i="11" s="1"/>
  <c r="AD4" i="11"/>
  <c r="L6" i="11"/>
  <c r="M6" i="11" l="1"/>
  <c r="N6" i="11" l="1"/>
  <c r="O6" i="11" l="1"/>
  <c r="P6" i="11" l="1"/>
  <c r="Q6" i="11"/>
  <c r="R6" i="11" l="1"/>
  <c r="S6" i="11" l="1"/>
  <c r="T6" i="11"/>
  <c r="U6" i="11" l="1"/>
  <c r="V6" i="11" l="1"/>
  <c r="W6" i="11" l="1"/>
  <c r="X6" i="11" l="1"/>
  <c r="Y6" i="11" l="1"/>
  <c r="Z6" i="11" l="1"/>
  <c r="AA6" i="11"/>
  <c r="AB6" i="11" l="1"/>
  <c r="AC6" i="11" l="1"/>
  <c r="AD6" i="11" l="1"/>
  <c r="AE6" i="11" l="1"/>
  <c r="AF6" i="11" l="1"/>
  <c r="AG6" i="11" l="1"/>
  <c r="AH6" i="11" l="1"/>
  <c r="E16" i="11" l="1"/>
  <c r="H17" i="11"/>
  <c r="F13" i="11"/>
  <c r="H12" i="11"/>
  <c r="F14" i="11" l="1"/>
  <c r="H13" i="11"/>
  <c r="F15" i="11" l="1"/>
  <c r="F16" i="11" s="1"/>
  <c r="H14" i="11"/>
  <c r="H15" i="11" l="1"/>
  <c r="H16" i="11"/>
</calcChain>
</file>

<file path=xl/sharedStrings.xml><?xml version="1.0" encoding="utf-8"?>
<sst xmlns="http://schemas.openxmlformats.org/spreadsheetml/2006/main" count="54" uniqueCount="46">
  <si>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</si>
  <si>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t>
  </si>
  <si>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</si>
  <si>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</si>
  <si>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</si>
  <si>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</si>
  <si>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</si>
  <si>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</si>
  <si>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</si>
  <si>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</si>
  <si>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</si>
  <si>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Bloque de título fase de ejemplo</t>
  </si>
  <si>
    <t>Esta es una fila vacía.</t>
  </si>
  <si>
    <t>TAREA</t>
  </si>
  <si>
    <t>Inicio del proyecto:</t>
  </si>
  <si>
    <t>Semana para mostrar:</t>
  </si>
  <si>
    <t>ASIGNADO
A</t>
  </si>
  <si>
    <t>PROGRESO</t>
  </si>
  <si>
    <t>INICIO</t>
  </si>
  <si>
    <t>FIN</t>
  </si>
  <si>
    <t>DÍAS</t>
  </si>
  <si>
    <t>Predicción de demanda alimetaria</t>
  </si>
  <si>
    <t>Proyecto: Big Data</t>
  </si>
  <si>
    <t xml:space="preserve">María Parra, Santiago Campos </t>
  </si>
  <si>
    <t>y Carlota Prósper</t>
  </si>
  <si>
    <t>Sprint 1: Datos+ETL+Modelado</t>
  </si>
  <si>
    <t>Tarea 1: Datos públicos</t>
  </si>
  <si>
    <t>Tarea 2: ETL</t>
  </si>
  <si>
    <t>Tarea 3: Modelado</t>
  </si>
  <si>
    <t>Carlota</t>
  </si>
  <si>
    <t>Sprint 2</t>
  </si>
  <si>
    <t>Tarea 1: App.py</t>
  </si>
  <si>
    <t>Tarea 2: HTML</t>
  </si>
  <si>
    <t>Tarea 3: MongoDB</t>
  </si>
  <si>
    <t>Tarea 4: Git</t>
  </si>
  <si>
    <t>Tarea 5: Render</t>
  </si>
  <si>
    <t>Sprint 3</t>
  </si>
  <si>
    <t>Tarea 1: PowerPoint</t>
  </si>
  <si>
    <t>Tarea 2: Vídeo</t>
  </si>
  <si>
    <t>Continuo</t>
  </si>
  <si>
    <t>Tarea 1: Memoria</t>
  </si>
  <si>
    <t>Tarea 2: Informe individual</t>
  </si>
  <si>
    <t>GRÁFICO GANTT SIMPLE</t>
  </si>
  <si>
    <t>María</t>
  </si>
  <si>
    <t>Santiago</t>
  </si>
  <si>
    <t>Todos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</si>
</sst>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dd\,\ m/d/yyyy"/>
    <numFmt numFmtId="167" formatCode="[$-C0A]d\ &quot;de&quot;\ mmmm\ &quot;de&quot;\ yyyy;@"/>
    <numFmt numFmtId="168" formatCode="d\-m\-yy;@"/>
    <numFmt numFmtId="169" formatCode="d"/>
  </numFmts>
  <fonts count="29"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6">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39997558519241921"/>
        <bgColor indexed="64"/>
      </patternFill>
    </fill>
    <fill>
      <patternFill patternType="solid">
        <fgColor theme="1"/>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7" fillId="0" borderId="0" applyFont="0" applyFill="0" applyBorder="0" applyAlignment="0" applyProtection="0"/>
    <xf numFmtId="0" fontId="14" fillId="0" borderId="0"/>
    <xf numFmtId="165" fontId="7" fillId="0" borderId="3" applyFont="0" applyFill="0" applyAlignment="0" applyProtection="0"/>
    <xf numFmtId="0" fontId="11" fillId="0" borderId="0" applyNumberFormat="0" applyFill="0" applyBorder="0" applyAlignment="0" applyProtection="0"/>
    <xf numFmtId="0" fontId="8" fillId="0" borderId="0" applyNumberFormat="0" applyFill="0" applyAlignment="0" applyProtection="0"/>
    <xf numFmtId="0" fontId="8" fillId="0" borderId="0" applyNumberFormat="0" applyFill="0" applyProtection="0">
      <alignment vertical="top"/>
    </xf>
    <xf numFmtId="0" fontId="7" fillId="0" borderId="0" applyNumberFormat="0" applyFill="0" applyProtection="0">
      <alignment horizontal="right" indent="1"/>
    </xf>
    <xf numFmtId="166" fontId="7" fillId="0" borderId="3">
      <alignment horizontal="center" vertical="center"/>
    </xf>
    <xf numFmtId="168" fontId="7" fillId="0" borderId="2" applyFill="0">
      <alignment horizontal="center" vertical="center"/>
    </xf>
    <xf numFmtId="0" fontId="7" fillId="0" borderId="2" applyFill="0">
      <alignment horizontal="center" vertical="center"/>
    </xf>
    <xf numFmtId="0" fontId="7" fillId="0" borderId="2" applyFill="0">
      <alignment horizontal="left" vertical="center" indent="2"/>
    </xf>
    <xf numFmtId="0" fontId="17" fillId="0" borderId="0" applyNumberFormat="0" applyFill="0" applyBorder="0" applyAlignment="0" applyProtection="0"/>
    <xf numFmtId="164" fontId="7" fillId="0" borderId="0" applyFont="0" applyFill="0" applyBorder="0" applyAlignment="0" applyProtection="0"/>
    <xf numFmtId="44" fontId="7" fillId="0" borderId="0" applyFont="0" applyFill="0" applyBorder="0" applyAlignment="0" applyProtection="0"/>
    <xf numFmtId="42" fontId="7" fillId="0" borderId="0" applyFont="0" applyFill="0" applyBorder="0" applyAlignment="0" applyProtection="0"/>
    <xf numFmtId="0" fontId="18" fillId="0" borderId="0" applyNumberFormat="0" applyFill="0" applyBorder="0" applyAlignment="0" applyProtection="0"/>
    <xf numFmtId="0" fontId="19" fillId="13" borderId="0" applyNumberFormat="0" applyBorder="0" applyAlignment="0" applyProtection="0"/>
    <xf numFmtId="0" fontId="20" fillId="14" borderId="0" applyNumberFormat="0" applyBorder="0" applyAlignment="0" applyProtection="0"/>
    <xf numFmtId="0" fontId="21" fillId="15" borderId="0" applyNumberFormat="0" applyBorder="0" applyAlignment="0" applyProtection="0"/>
    <xf numFmtId="0" fontId="22" fillId="16" borderId="11" applyNumberFormat="0" applyAlignment="0" applyProtection="0"/>
    <xf numFmtId="0" fontId="23" fillId="17" borderId="12" applyNumberFormat="0" applyAlignment="0" applyProtection="0"/>
    <xf numFmtId="0" fontId="24" fillId="17" borderId="11" applyNumberFormat="0" applyAlignment="0" applyProtection="0"/>
    <xf numFmtId="0" fontId="25" fillId="0" borderId="13" applyNumberFormat="0" applyFill="0" applyAlignment="0" applyProtection="0"/>
    <xf numFmtId="0" fontId="26" fillId="18" borderId="14" applyNumberFormat="0" applyAlignment="0" applyProtection="0"/>
    <xf numFmtId="0" fontId="27" fillId="0" borderId="0" applyNumberFormat="0" applyFill="0" applyBorder="0" applyAlignment="0" applyProtection="0"/>
    <xf numFmtId="0" fontId="7" fillId="19" borderId="15" applyNumberFormat="0" applyFont="0" applyAlignment="0" applyProtection="0"/>
    <xf numFmtId="0" fontId="28" fillId="0" borderId="0" applyNumberFormat="0" applyFill="0" applyBorder="0" applyAlignment="0" applyProtection="0"/>
    <xf numFmtId="0" fontId="5" fillId="0" borderId="16" applyNumberFormat="0" applyFill="0" applyAlignment="0" applyProtection="0"/>
    <xf numFmtId="0" fontId="14" fillId="20"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14" fillId="24"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14" fillId="28"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14" fillId="32" borderId="0" applyNumberFormat="0" applyBorder="0" applyAlignment="0" applyProtection="0"/>
    <xf numFmtId="0" fontId="7" fillId="33"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14" fillId="36" borderId="0" applyNumberFormat="0" applyBorder="0" applyAlignment="0" applyProtection="0"/>
    <xf numFmtId="0" fontId="7" fillId="37" borderId="0" applyNumberFormat="0" applyBorder="0" applyAlignment="0" applyProtection="0"/>
    <xf numFmtId="0" fontId="7" fillId="38" borderId="0" applyNumberFormat="0" applyBorder="0" applyAlignment="0" applyProtection="0"/>
    <xf numFmtId="0" fontId="7" fillId="39" borderId="0" applyNumberFormat="0" applyBorder="0" applyAlignment="0" applyProtection="0"/>
    <xf numFmtId="0" fontId="14" fillId="40" borderId="0" applyNumberFormat="0" applyBorder="0" applyAlignment="0" applyProtection="0"/>
    <xf numFmtId="0" fontId="7" fillId="41"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cellStyleXfs>
  <cellXfs count="78">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6" fillId="12" borderId="1" xfId="0" applyFont="1" applyFill="1" applyBorder="1" applyAlignment="1">
      <alignment horizontal="left" vertical="center" indent="1"/>
    </xf>
    <xf numFmtId="0" fontId="6" fillId="12" borderId="1" xfId="0" applyFont="1" applyFill="1" applyBorder="1" applyAlignment="1">
      <alignment horizontal="center" vertical="center" wrapText="1"/>
    </xf>
    <xf numFmtId="0" fontId="10" fillId="11" borderId="8" xfId="0" applyFont="1" applyFill="1" applyBorder="1" applyAlignment="1">
      <alignment horizontal="center" vertical="center" shrinkToFit="1"/>
    </xf>
    <xf numFmtId="0" fontId="12" fillId="0" borderId="0" xfId="0" applyFont="1"/>
    <xf numFmtId="0" fontId="13" fillId="0" borderId="0" xfId="1" applyFont="1" applyAlignment="1" applyProtection="1"/>
    <xf numFmtId="9" fontId="4" fillId="0" borderId="2" xfId="2" applyFont="1" applyBorder="1" applyAlignment="1">
      <alignment horizontal="center" vertical="center"/>
    </xf>
    <xf numFmtId="0" fontId="4" fillId="0" borderId="2" xfId="0" applyFont="1" applyBorder="1" applyAlignment="1">
      <alignment horizontal="center" vertical="center"/>
    </xf>
    <xf numFmtId="0" fontId="5" fillId="7" borderId="2" xfId="0" applyFont="1" applyFill="1" applyBorder="1" applyAlignment="1">
      <alignment horizontal="left" vertical="center" indent="1"/>
    </xf>
    <xf numFmtId="9" fontId="4" fillId="7" borderId="2" xfId="2" applyFont="1" applyFill="1" applyBorder="1" applyAlignment="1">
      <alignment horizontal="center" vertical="center"/>
    </xf>
    <xf numFmtId="9" fontId="4" fillId="2" borderId="2" xfId="2" applyFont="1" applyFill="1" applyBorder="1" applyAlignment="1">
      <alignment horizontal="center" vertical="center"/>
    </xf>
    <xf numFmtId="0" fontId="5" fillId="8" borderId="2" xfId="0" applyFont="1" applyFill="1" applyBorder="1" applyAlignment="1">
      <alignment horizontal="left" vertical="center" indent="1"/>
    </xf>
    <xf numFmtId="9" fontId="4" fillId="8" borderId="2" xfId="2" applyFont="1" applyFill="1" applyBorder="1" applyAlignment="1">
      <alignment horizontal="center" vertical="center"/>
    </xf>
    <xf numFmtId="9" fontId="4" fillId="3" borderId="2" xfId="2" applyFont="1" applyFill="1" applyBorder="1" applyAlignment="1">
      <alignment horizontal="center" vertical="center"/>
    </xf>
    <xf numFmtId="0" fontId="5" fillId="5" borderId="2" xfId="0" applyFont="1" applyFill="1" applyBorder="1" applyAlignment="1">
      <alignment horizontal="left" vertical="center" indent="1"/>
    </xf>
    <xf numFmtId="9" fontId="4" fillId="5" borderId="2" xfId="2" applyFont="1" applyFill="1" applyBorder="1" applyAlignment="1">
      <alignment horizontal="center" vertical="center"/>
    </xf>
    <xf numFmtId="0" fontId="5" fillId="4" borderId="2" xfId="0" applyFont="1" applyFill="1" applyBorder="1" applyAlignment="1">
      <alignment horizontal="left" vertical="center" indent="1"/>
    </xf>
    <xf numFmtId="9" fontId="4" fillId="4" borderId="2" xfId="2" applyFont="1" applyFill="1" applyBorder="1" applyAlignment="1">
      <alignment horizontal="center" vertical="center"/>
    </xf>
    <xf numFmtId="9" fontId="4" fillId="9" borderId="2" xfId="2"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2" fillId="0" borderId="0" xfId="0" applyFont="1" applyAlignment="1">
      <alignment horizontal="center" vertical="center"/>
    </xf>
    <xf numFmtId="0" fontId="14" fillId="0" borderId="0" xfId="3"/>
    <xf numFmtId="0" fontId="14" fillId="0" borderId="0" xfId="3" applyAlignment="1">
      <alignment wrapText="1"/>
    </xf>
    <xf numFmtId="0" fontId="14" fillId="0" borderId="0" xfId="0" applyFont="1" applyAlignment="1">
      <alignment horizontal="center"/>
    </xf>
    <xf numFmtId="0" fontId="0" fillId="0" borderId="0" xfId="0" applyAlignment="1">
      <alignment wrapText="1"/>
    </xf>
    <xf numFmtId="0" fontId="11" fillId="0" borderId="0" xfId="5" applyAlignment="1">
      <alignment horizontal="left"/>
    </xf>
    <xf numFmtId="0" fontId="8" fillId="0" borderId="0" xfId="6"/>
    <xf numFmtId="0" fontId="8" fillId="0" borderId="0" xfId="7">
      <alignment vertical="top"/>
    </xf>
    <xf numFmtId="0" fontId="7" fillId="7" borderId="2" xfId="11" applyFill="1">
      <alignment horizontal="center" vertical="center"/>
    </xf>
    <xf numFmtId="0" fontId="7" fillId="2" borderId="2" xfId="11" applyFill="1">
      <alignment horizontal="center" vertical="center"/>
    </xf>
    <xf numFmtId="0" fontId="7" fillId="8" borderId="2" xfId="11" applyFill="1">
      <alignment horizontal="center" vertical="center"/>
    </xf>
    <xf numFmtId="0" fontId="7" fillId="3" borderId="2" xfId="11" applyFill="1">
      <alignment horizontal="center" vertical="center"/>
    </xf>
    <xf numFmtId="0" fontId="7" fillId="5" borderId="2" xfId="11" applyFill="1">
      <alignment horizontal="center" vertical="center"/>
    </xf>
    <xf numFmtId="0" fontId="7" fillId="10" borderId="2" xfId="11" applyFill="1">
      <alignment horizontal="center" vertical="center"/>
    </xf>
    <xf numFmtId="0" fontId="7" fillId="4" borderId="2" xfId="11" applyFill="1">
      <alignment horizontal="center" vertical="center"/>
    </xf>
    <xf numFmtId="0" fontId="7" fillId="9" borderId="2" xfId="11" applyFill="1">
      <alignment horizontal="center" vertical="center"/>
    </xf>
    <xf numFmtId="0" fontId="7" fillId="0" borderId="2" xfId="11">
      <alignment horizontal="center" vertical="center"/>
    </xf>
    <xf numFmtId="0" fontId="7" fillId="2" borderId="2" xfId="12" applyFill="1">
      <alignment horizontal="left" vertical="center" indent="2"/>
    </xf>
    <xf numFmtId="0" fontId="7" fillId="3" borderId="2" xfId="12" applyFill="1">
      <alignment horizontal="left" vertical="center" indent="2"/>
    </xf>
    <xf numFmtId="0" fontId="7" fillId="10" borderId="2" xfId="12" applyFill="1">
      <alignment horizontal="left" vertical="center" indent="2"/>
    </xf>
    <xf numFmtId="0" fontId="7" fillId="9" borderId="2" xfId="12" applyFill="1">
      <alignment horizontal="left" vertical="center" indent="2"/>
    </xf>
    <xf numFmtId="0" fontId="7" fillId="0" borderId="2" xfId="12">
      <alignment horizontal="left" vertical="center" indent="2"/>
    </xf>
    <xf numFmtId="0" fontId="0" fillId="0" borderId="10" xfId="0" applyBorder="1"/>
    <xf numFmtId="0" fontId="15" fillId="0" borderId="0" xfId="0" applyFont="1"/>
    <xf numFmtId="0" fontId="16" fillId="0" borderId="0" xfId="1" applyFont="1" applyProtection="1">
      <alignment vertical="top"/>
    </xf>
    <xf numFmtId="168" fontId="0" fillId="7" borderId="2" xfId="0" applyNumberFormat="1" applyFill="1" applyBorder="1" applyAlignment="1">
      <alignment horizontal="center" vertical="center"/>
    </xf>
    <xf numFmtId="168" fontId="4" fillId="7" borderId="2" xfId="0" applyNumberFormat="1" applyFont="1" applyFill="1" applyBorder="1" applyAlignment="1">
      <alignment horizontal="center" vertical="center"/>
    </xf>
    <xf numFmtId="168" fontId="0" fillId="8" borderId="2" xfId="0" applyNumberFormat="1" applyFill="1" applyBorder="1" applyAlignment="1">
      <alignment horizontal="center" vertical="center"/>
    </xf>
    <xf numFmtId="168" fontId="4" fillId="8" borderId="2" xfId="0" applyNumberFormat="1" applyFont="1" applyFill="1" applyBorder="1" applyAlignment="1">
      <alignment horizontal="center" vertical="center"/>
    </xf>
    <xf numFmtId="168" fontId="0" fillId="5" borderId="2" xfId="0" applyNumberFormat="1" applyFill="1" applyBorder="1" applyAlignment="1">
      <alignment horizontal="center" vertical="center"/>
    </xf>
    <xf numFmtId="168" fontId="4" fillId="5" borderId="2" xfId="0" applyNumberFormat="1" applyFont="1" applyFill="1" applyBorder="1" applyAlignment="1">
      <alignment horizontal="center" vertical="center"/>
    </xf>
    <xf numFmtId="168" fontId="7" fillId="10" borderId="2" xfId="10" applyFill="1">
      <alignment horizontal="center" vertical="center"/>
    </xf>
    <xf numFmtId="168" fontId="0" fillId="4" borderId="2" xfId="0" applyNumberFormat="1" applyFill="1" applyBorder="1" applyAlignment="1">
      <alignment horizontal="center" vertical="center"/>
    </xf>
    <xf numFmtId="168" fontId="4" fillId="4" borderId="2" xfId="0" applyNumberFormat="1" applyFont="1" applyFill="1" applyBorder="1" applyAlignment="1">
      <alignment horizontal="center" vertical="center"/>
    </xf>
    <xf numFmtId="169" fontId="9" fillId="6" borderId="6" xfId="0" applyNumberFormat="1" applyFont="1" applyFill="1" applyBorder="1" applyAlignment="1">
      <alignment horizontal="center" vertical="center"/>
    </xf>
    <xf numFmtId="169" fontId="9" fillId="6" borderId="0" xfId="0" applyNumberFormat="1" applyFont="1" applyFill="1" applyAlignment="1">
      <alignment horizontal="center" vertical="center"/>
    </xf>
    <xf numFmtId="169" fontId="9" fillId="6" borderId="7" xfId="0" applyNumberFormat="1" applyFont="1" applyFill="1" applyBorder="1" applyAlignment="1">
      <alignment horizontal="center" vertical="center"/>
    </xf>
    <xf numFmtId="168" fontId="7" fillId="2" borderId="2" xfId="10" applyFill="1">
      <alignment horizontal="center" vertical="center"/>
    </xf>
    <xf numFmtId="168" fontId="7" fillId="3" borderId="2" xfId="10" applyFill="1">
      <alignment horizontal="center" vertical="center"/>
    </xf>
    <xf numFmtId="168" fontId="7" fillId="0" borderId="2" xfId="10">
      <alignment horizontal="center" vertical="center"/>
    </xf>
    <xf numFmtId="0" fontId="8" fillId="0" borderId="0" xfId="0" applyFont="1" applyAlignment="1">
      <alignment vertical="top"/>
    </xf>
    <xf numFmtId="0" fontId="0" fillId="44" borderId="9" xfId="0" applyFill="1" applyBorder="1" applyAlignment="1">
      <alignment vertical="center"/>
    </xf>
    <xf numFmtId="9" fontId="4" fillId="45" borderId="2" xfId="2" applyFont="1" applyFill="1" applyBorder="1" applyAlignment="1">
      <alignment horizontal="center" vertical="center"/>
    </xf>
    <xf numFmtId="9" fontId="7" fillId="10" borderId="2" xfId="11" applyNumberFormat="1" applyFill="1">
      <alignment horizontal="center" vertical="center"/>
    </xf>
    <xf numFmtId="0" fontId="7" fillId="0" borderId="0" xfId="8">
      <alignment horizontal="right" indent="1"/>
    </xf>
    <xf numFmtId="0" fontId="7" fillId="0" borderId="7" xfId="8" applyBorder="1">
      <alignment horizontal="right" indent="1"/>
    </xf>
    <xf numFmtId="166" fontId="7" fillId="0" borderId="3" xfId="9">
      <alignment horizontal="center" vertical="center"/>
    </xf>
    <xf numFmtId="167" fontId="0" fillId="6" borderId="4" xfId="0" applyNumberFormat="1" applyFill="1" applyBorder="1" applyAlignment="1">
      <alignment horizontal="left" vertical="center" wrapText="1" indent="1"/>
    </xf>
    <xf numFmtId="167" fontId="0" fillId="6" borderId="1" xfId="0" applyNumberFormat="1" applyFill="1" applyBorder="1" applyAlignment="1">
      <alignment horizontal="left" vertical="center" wrapText="1" indent="1"/>
    </xf>
    <xf numFmtId="167" fontId="0" fillId="6" borderId="5" xfId="0" applyNumberFormat="1" applyFill="1" applyBorder="1" applyAlignment="1">
      <alignment horizontal="left" vertical="center" wrapText="1" indent="1"/>
    </xf>
  </cellXfs>
  <cellStyles count="54">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B2D3C1EE-6B41-4801-AAFC-C2274E49E503}"/>
    <cellStyle name="Normal" xfId="0" builtinId="0" customBuiltin="1"/>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14">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3"/>
      <tableStyleElement type="headerRow" dxfId="12"/>
      <tableStyleElement type="totalRow" dxfId="11"/>
      <tableStyleElement type="firstColumn" dxfId="10"/>
      <tableStyleElement type="lastColumn" dxfId="9"/>
      <tableStyleElement type="firstRowStripe" dxfId="8"/>
      <tableStyleElement type="secondRowStripe" dxfId="7"/>
      <tableStyleElement type="firstColumnStripe" dxfId="6"/>
      <tableStyleElement type="secondColumnStripe" dxfId="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Verde">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H27"/>
  <sheetViews>
    <sheetView showGridLines="0" tabSelected="1" showRuler="0" topLeftCell="B1" zoomScale="86" zoomScaleNormal="100" zoomScalePageLayoutView="70" workbookViewId="0">
      <pane ySplit="6" topLeftCell="A11" activePane="bottomLeft" state="frozen"/>
      <selection pane="bottomLeft" activeCell="D19" sqref="D19"/>
    </sheetView>
  </sheetViews>
  <sheetFormatPr baseColWidth="10" defaultColWidth="9.1328125" defaultRowHeight="30" customHeight="1" x14ac:dyDescent="0.45"/>
  <cols>
    <col min="1" max="1" width="2.73046875" style="29" customWidth="1"/>
    <col min="2" max="2" width="31.59765625" customWidth="1"/>
    <col min="3" max="3" width="30.73046875" customWidth="1"/>
    <col min="4" max="4" width="10.73046875" customWidth="1"/>
    <col min="5" max="5" width="10.3984375" style="5" customWidth="1"/>
    <col min="6" max="6" width="10.3984375" customWidth="1"/>
    <col min="7" max="7" width="2.73046875" customWidth="1"/>
    <col min="8" max="8" width="9.3984375" hidden="1" customWidth="1"/>
    <col min="9" max="33" width="3.265625" customWidth="1"/>
    <col min="34" max="34" width="5.46484375" customWidth="1"/>
    <col min="39" max="40" width="10.265625"/>
  </cols>
  <sheetData>
    <row r="1" spans="1:34" ht="30" customHeight="1" x14ac:dyDescent="0.85">
      <c r="A1" s="30" t="s">
        <v>0</v>
      </c>
      <c r="B1" s="33" t="s">
        <v>21</v>
      </c>
      <c r="C1" s="1"/>
      <c r="D1" s="2"/>
      <c r="E1" s="4"/>
      <c r="F1" s="28"/>
      <c r="H1" s="2"/>
      <c r="I1" s="51" t="s">
        <v>42</v>
      </c>
    </row>
    <row r="2" spans="1:34" ht="30" customHeight="1" x14ac:dyDescent="0.55000000000000004">
      <c r="A2" s="29" t="s">
        <v>1</v>
      </c>
      <c r="B2" s="34" t="s">
        <v>22</v>
      </c>
      <c r="I2" s="52"/>
    </row>
    <row r="3" spans="1:34" ht="30" customHeight="1" x14ac:dyDescent="0.45">
      <c r="A3" s="29" t="s">
        <v>2</v>
      </c>
      <c r="B3" s="35" t="s">
        <v>23</v>
      </c>
      <c r="C3" s="72" t="s">
        <v>14</v>
      </c>
      <c r="D3" s="73"/>
      <c r="E3" s="74">
        <f>DATE(2025,12,21)</f>
        <v>46012</v>
      </c>
      <c r="F3" s="74"/>
    </row>
    <row r="4" spans="1:34" ht="30" customHeight="1" x14ac:dyDescent="0.45">
      <c r="A4" s="30" t="s">
        <v>3</v>
      </c>
      <c r="B4" s="68" t="s">
        <v>24</v>
      </c>
      <c r="C4" s="72" t="s">
        <v>15</v>
      </c>
      <c r="D4" s="73"/>
      <c r="E4" s="7">
        <v>1</v>
      </c>
      <c r="I4" s="75">
        <f>I5</f>
        <v>46013</v>
      </c>
      <c r="J4" s="76"/>
      <c r="K4" s="76"/>
      <c r="L4" s="76"/>
      <c r="M4" s="76"/>
      <c r="N4" s="76"/>
      <c r="O4" s="77"/>
      <c r="P4" s="75">
        <f>P5</f>
        <v>46020</v>
      </c>
      <c r="Q4" s="76"/>
      <c r="R4" s="76"/>
      <c r="S4" s="76"/>
      <c r="T4" s="76"/>
      <c r="U4" s="76"/>
      <c r="V4" s="77"/>
      <c r="W4" s="75">
        <f>W5</f>
        <v>46027</v>
      </c>
      <c r="X4" s="76"/>
      <c r="Y4" s="76"/>
      <c r="Z4" s="76"/>
      <c r="AA4" s="76"/>
      <c r="AB4" s="76"/>
      <c r="AC4" s="77"/>
      <c r="AD4" s="75">
        <f>AD5</f>
        <v>46034</v>
      </c>
      <c r="AE4" s="76"/>
      <c r="AF4" s="76"/>
      <c r="AG4" s="76"/>
      <c r="AH4" s="76"/>
    </row>
    <row r="5" spans="1:34" ht="15" customHeight="1" x14ac:dyDescent="0.45">
      <c r="A5" s="30" t="s">
        <v>4</v>
      </c>
      <c r="B5" s="50"/>
      <c r="C5" s="50"/>
      <c r="D5" s="50"/>
      <c r="E5" s="50"/>
      <c r="F5" s="50"/>
      <c r="G5" s="50"/>
      <c r="I5" s="62">
        <f>Inicio_del_proyecto-WEEKDAY(Inicio_del_proyecto,1)+2+7*(Semana_para_mostrar-1)</f>
        <v>46013</v>
      </c>
      <c r="J5" s="63">
        <f>I5+1</f>
        <v>46014</v>
      </c>
      <c r="K5" s="63">
        <f t="shared" ref="K5:AH5" si="0">J5+1</f>
        <v>46015</v>
      </c>
      <c r="L5" s="63">
        <f t="shared" si="0"/>
        <v>46016</v>
      </c>
      <c r="M5" s="63">
        <f t="shared" si="0"/>
        <v>46017</v>
      </c>
      <c r="N5" s="63">
        <f t="shared" si="0"/>
        <v>46018</v>
      </c>
      <c r="O5" s="64">
        <f t="shared" si="0"/>
        <v>46019</v>
      </c>
      <c r="P5" s="62">
        <f>O5+1</f>
        <v>46020</v>
      </c>
      <c r="Q5" s="63">
        <f>P5+1</f>
        <v>46021</v>
      </c>
      <c r="R5" s="63">
        <f t="shared" si="0"/>
        <v>46022</v>
      </c>
      <c r="S5" s="63">
        <f t="shared" si="0"/>
        <v>46023</v>
      </c>
      <c r="T5" s="63">
        <f t="shared" si="0"/>
        <v>46024</v>
      </c>
      <c r="U5" s="63">
        <f t="shared" si="0"/>
        <v>46025</v>
      </c>
      <c r="V5" s="64">
        <f t="shared" si="0"/>
        <v>46026</v>
      </c>
      <c r="W5" s="62">
        <f>V5+1</f>
        <v>46027</v>
      </c>
      <c r="X5" s="63">
        <f>W5+1</f>
        <v>46028</v>
      </c>
      <c r="Y5" s="63">
        <f t="shared" si="0"/>
        <v>46029</v>
      </c>
      <c r="Z5" s="63">
        <f t="shared" si="0"/>
        <v>46030</v>
      </c>
      <c r="AA5" s="63">
        <f t="shared" si="0"/>
        <v>46031</v>
      </c>
      <c r="AB5" s="63">
        <f t="shared" si="0"/>
        <v>46032</v>
      </c>
      <c r="AC5" s="64">
        <f t="shared" si="0"/>
        <v>46033</v>
      </c>
      <c r="AD5" s="62">
        <f>AC5+1</f>
        <v>46034</v>
      </c>
      <c r="AE5" s="63">
        <f>AD5+1</f>
        <v>46035</v>
      </c>
      <c r="AF5" s="63">
        <f t="shared" si="0"/>
        <v>46036</v>
      </c>
      <c r="AG5" s="63">
        <f t="shared" si="0"/>
        <v>46037</v>
      </c>
      <c r="AH5" s="63">
        <f t="shared" si="0"/>
        <v>46038</v>
      </c>
    </row>
    <row r="6" spans="1:34" ht="30" customHeight="1" thickBot="1" x14ac:dyDescent="0.5">
      <c r="A6" s="30" t="s">
        <v>5</v>
      </c>
      <c r="B6" s="8" t="s">
        <v>13</v>
      </c>
      <c r="C6" s="9" t="s">
        <v>16</v>
      </c>
      <c r="D6" s="9" t="s">
        <v>17</v>
      </c>
      <c r="E6" s="9" t="s">
        <v>18</v>
      </c>
      <c r="F6" s="9" t="s">
        <v>19</v>
      </c>
      <c r="G6" s="9"/>
      <c r="H6" s="9" t="s">
        <v>20</v>
      </c>
      <c r="I6" s="10" t="str">
        <f t="shared" ref="I6" si="1">LEFT(TEXT(I5,"ddd"),1)</f>
        <v>l</v>
      </c>
      <c r="J6" s="10" t="str">
        <f t="shared" ref="J6:AH6" si="2">LEFT(TEXT(J5,"ddd"),1)</f>
        <v>m</v>
      </c>
      <c r="K6" s="10" t="str">
        <f t="shared" si="2"/>
        <v>m</v>
      </c>
      <c r="L6" s="10" t="str">
        <f t="shared" si="2"/>
        <v>j</v>
      </c>
      <c r="M6" s="10" t="str">
        <f t="shared" si="2"/>
        <v>v</v>
      </c>
      <c r="N6" s="10" t="str">
        <f t="shared" si="2"/>
        <v>s</v>
      </c>
      <c r="O6" s="10" t="str">
        <f t="shared" si="2"/>
        <v>d</v>
      </c>
      <c r="P6" s="10" t="str">
        <f t="shared" si="2"/>
        <v>l</v>
      </c>
      <c r="Q6" s="10" t="str">
        <f t="shared" si="2"/>
        <v>m</v>
      </c>
      <c r="R6" s="10" t="str">
        <f t="shared" si="2"/>
        <v>m</v>
      </c>
      <c r="S6" s="10" t="str">
        <f t="shared" si="2"/>
        <v>j</v>
      </c>
      <c r="T6" s="10" t="str">
        <f t="shared" si="2"/>
        <v>v</v>
      </c>
      <c r="U6" s="10" t="str">
        <f t="shared" si="2"/>
        <v>s</v>
      </c>
      <c r="V6" s="10" t="str">
        <f t="shared" si="2"/>
        <v>d</v>
      </c>
      <c r="W6" s="10" t="str">
        <f t="shared" si="2"/>
        <v>l</v>
      </c>
      <c r="X6" s="10" t="str">
        <f t="shared" si="2"/>
        <v>m</v>
      </c>
      <c r="Y6" s="10" t="str">
        <f t="shared" si="2"/>
        <v>m</v>
      </c>
      <c r="Z6" s="10" t="str">
        <f t="shared" si="2"/>
        <v>j</v>
      </c>
      <c r="AA6" s="10" t="str">
        <f t="shared" si="2"/>
        <v>v</v>
      </c>
      <c r="AB6" s="10" t="str">
        <f t="shared" si="2"/>
        <v>s</v>
      </c>
      <c r="AC6" s="10" t="str">
        <f t="shared" si="2"/>
        <v>d</v>
      </c>
      <c r="AD6" s="10" t="str">
        <f t="shared" si="2"/>
        <v>l</v>
      </c>
      <c r="AE6" s="10" t="str">
        <f t="shared" si="2"/>
        <v>m</v>
      </c>
      <c r="AF6" s="10" t="str">
        <f t="shared" si="2"/>
        <v>m</v>
      </c>
      <c r="AG6" s="10" t="str">
        <f t="shared" si="2"/>
        <v>j</v>
      </c>
      <c r="AH6" s="10" t="str">
        <f t="shared" si="2"/>
        <v>v</v>
      </c>
    </row>
    <row r="7" spans="1:34" ht="30" hidden="1" customHeight="1" thickBot="1" x14ac:dyDescent="0.5">
      <c r="A7" s="29" t="s">
        <v>6</v>
      </c>
      <c r="C7" s="32"/>
      <c r="E7"/>
      <c r="H7" t="str">
        <f>IF(OR(ISBLANK(task_start),ISBLANK(task_end)),"",task_end-task_start+1)</f>
        <v/>
      </c>
      <c r="I7" s="26"/>
      <c r="J7" s="26"/>
      <c r="K7" s="26"/>
      <c r="L7" s="26"/>
      <c r="M7" s="26"/>
      <c r="N7" s="26"/>
      <c r="O7" s="26"/>
      <c r="P7" s="26"/>
      <c r="Q7" s="26"/>
      <c r="R7" s="26"/>
      <c r="S7" s="26"/>
      <c r="T7" s="26"/>
      <c r="U7" s="26"/>
      <c r="V7" s="26"/>
      <c r="W7" s="26"/>
      <c r="X7" s="26"/>
      <c r="Y7" s="26"/>
      <c r="Z7" s="26"/>
      <c r="AA7" s="26"/>
      <c r="AB7" s="26"/>
      <c r="AC7" s="26"/>
      <c r="AD7" s="26"/>
      <c r="AE7" s="26"/>
      <c r="AF7" s="26"/>
      <c r="AG7" s="26"/>
      <c r="AH7" s="26"/>
    </row>
    <row r="8" spans="1:34" s="3" customFormat="1" ht="30" customHeight="1" thickBot="1" x14ac:dyDescent="0.5">
      <c r="A8" s="30" t="s">
        <v>7</v>
      </c>
      <c r="B8" s="15" t="s">
        <v>25</v>
      </c>
      <c r="C8" s="36"/>
      <c r="D8" s="16"/>
      <c r="E8" s="53">
        <f>Inicio_del_proyecto</f>
        <v>46012</v>
      </c>
      <c r="F8" s="54">
        <f>F11</f>
        <v>46019</v>
      </c>
      <c r="G8" s="14"/>
      <c r="H8" s="14">
        <f t="shared" ref="H8:H24" si="3">IF(OR(ISBLANK(task_start),ISBLANK(task_end)),"",task_end-task_start+1)</f>
        <v>8</v>
      </c>
      <c r="I8" s="69"/>
      <c r="J8" s="69"/>
      <c r="K8" s="69"/>
      <c r="L8" s="69"/>
      <c r="M8" s="69"/>
      <c r="N8" s="69"/>
      <c r="O8" s="69"/>
      <c r="P8" s="26"/>
      <c r="Q8" s="26"/>
      <c r="R8" s="26"/>
      <c r="S8" s="26"/>
      <c r="T8" s="26"/>
      <c r="U8" s="26"/>
      <c r="V8" s="26"/>
      <c r="W8" s="26"/>
      <c r="X8" s="26"/>
      <c r="Y8" s="26"/>
      <c r="Z8" s="26"/>
      <c r="AA8" s="26"/>
      <c r="AB8" s="26"/>
      <c r="AC8" s="26"/>
      <c r="AD8" s="26"/>
      <c r="AE8" s="26"/>
      <c r="AF8" s="26"/>
      <c r="AG8" s="26"/>
      <c r="AH8" s="26"/>
    </row>
    <row r="9" spans="1:34" s="3" customFormat="1" ht="30" customHeight="1" thickBot="1" x14ac:dyDescent="0.5">
      <c r="A9" s="30" t="s">
        <v>8</v>
      </c>
      <c r="B9" s="45" t="s">
        <v>26</v>
      </c>
      <c r="C9" s="37" t="s">
        <v>29</v>
      </c>
      <c r="D9" s="70">
        <v>1</v>
      </c>
      <c r="E9" s="65">
        <f>Inicio_del_proyecto</f>
        <v>46012</v>
      </c>
      <c r="F9" s="65">
        <f>E9+1</f>
        <v>46013</v>
      </c>
      <c r="G9" s="14"/>
      <c r="H9" s="14">
        <f t="shared" si="3"/>
        <v>2</v>
      </c>
      <c r="I9" s="26"/>
      <c r="J9" s="26"/>
      <c r="K9" s="26"/>
      <c r="L9" s="26"/>
      <c r="M9" s="26"/>
      <c r="N9" s="26"/>
      <c r="O9" s="26"/>
      <c r="P9" s="26"/>
      <c r="Q9" s="26"/>
      <c r="R9" s="26"/>
      <c r="S9" s="26"/>
      <c r="T9" s="26"/>
      <c r="U9" s="26"/>
      <c r="V9" s="26"/>
      <c r="W9" s="26"/>
      <c r="X9" s="26"/>
      <c r="Y9" s="26"/>
      <c r="Z9" s="26"/>
      <c r="AA9" s="26"/>
      <c r="AB9" s="26"/>
      <c r="AC9" s="26"/>
      <c r="AD9" s="26"/>
      <c r="AE9" s="26"/>
      <c r="AF9" s="26"/>
      <c r="AG9" s="26"/>
      <c r="AH9" s="26"/>
    </row>
    <row r="10" spans="1:34" s="3" customFormat="1" ht="30" customHeight="1" thickBot="1" x14ac:dyDescent="0.5">
      <c r="A10" s="30" t="s">
        <v>9</v>
      </c>
      <c r="B10" s="45" t="s">
        <v>27</v>
      </c>
      <c r="C10" s="37" t="s">
        <v>43</v>
      </c>
      <c r="D10" s="17">
        <v>1</v>
      </c>
      <c r="E10" s="65">
        <f>F9</f>
        <v>46013</v>
      </c>
      <c r="F10" s="65">
        <f>E10+2</f>
        <v>46015</v>
      </c>
      <c r="G10" s="14"/>
      <c r="H10" s="14">
        <f t="shared" si="3"/>
        <v>3</v>
      </c>
      <c r="I10" s="26"/>
      <c r="J10" s="26"/>
      <c r="K10" s="26"/>
      <c r="L10" s="26"/>
      <c r="M10" s="26"/>
      <c r="N10" s="26"/>
      <c r="O10" s="26"/>
      <c r="P10" s="26"/>
      <c r="Q10" s="26"/>
      <c r="R10" s="26"/>
      <c r="S10" s="26"/>
      <c r="T10" s="26"/>
      <c r="U10" s="27"/>
      <c r="V10" s="27"/>
      <c r="W10" s="26"/>
      <c r="X10" s="26"/>
      <c r="Y10" s="26"/>
      <c r="Z10" s="26"/>
      <c r="AA10" s="26"/>
      <c r="AB10" s="26"/>
      <c r="AC10" s="26"/>
      <c r="AD10" s="26"/>
      <c r="AE10" s="26"/>
      <c r="AF10" s="26"/>
      <c r="AG10" s="26"/>
      <c r="AH10" s="26"/>
    </row>
    <row r="11" spans="1:34" s="3" customFormat="1" ht="30" customHeight="1" thickBot="1" x14ac:dyDescent="0.5">
      <c r="A11" s="29"/>
      <c r="B11" s="45" t="s">
        <v>28</v>
      </c>
      <c r="C11" s="37" t="s">
        <v>44</v>
      </c>
      <c r="D11" s="17">
        <v>1</v>
      </c>
      <c r="E11" s="65">
        <f>F10</f>
        <v>46015</v>
      </c>
      <c r="F11" s="65">
        <f>E11+4</f>
        <v>46019</v>
      </c>
      <c r="G11" s="14"/>
      <c r="H11" s="14">
        <f t="shared" si="3"/>
        <v>5</v>
      </c>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row>
    <row r="12" spans="1:34" s="3" customFormat="1" ht="30" customHeight="1" thickBot="1" x14ac:dyDescent="0.5">
      <c r="A12" s="30" t="s">
        <v>10</v>
      </c>
      <c r="B12" s="18" t="s">
        <v>30</v>
      </c>
      <c r="C12" s="38"/>
      <c r="D12" s="19"/>
      <c r="E12" s="55">
        <f>F11</f>
        <v>46019</v>
      </c>
      <c r="F12" s="56">
        <f>F17</f>
        <v>46026</v>
      </c>
      <c r="G12" s="14"/>
      <c r="H12" s="14">
        <f t="shared" si="3"/>
        <v>8</v>
      </c>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row>
    <row r="13" spans="1:34" s="3" customFormat="1" ht="30" customHeight="1" thickBot="1" x14ac:dyDescent="0.5">
      <c r="A13" s="30"/>
      <c r="B13" s="46" t="s">
        <v>31</v>
      </c>
      <c r="C13" s="39" t="s">
        <v>45</v>
      </c>
      <c r="D13" s="20">
        <v>1</v>
      </c>
      <c r="E13" s="66">
        <f>F11</f>
        <v>46019</v>
      </c>
      <c r="F13" s="66">
        <f>F12-1</f>
        <v>46025</v>
      </c>
      <c r="G13" s="14"/>
      <c r="H13" s="14">
        <f t="shared" si="3"/>
        <v>7</v>
      </c>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row>
    <row r="14" spans="1:34" s="3" customFormat="1" ht="30" customHeight="1" thickBot="1" x14ac:dyDescent="0.5">
      <c r="A14" s="29"/>
      <c r="B14" s="46" t="s">
        <v>32</v>
      </c>
      <c r="C14" s="39" t="s">
        <v>29</v>
      </c>
      <c r="D14" s="20">
        <v>1</v>
      </c>
      <c r="E14" s="66">
        <f>E13</f>
        <v>46019</v>
      </c>
      <c r="F14" s="66">
        <f>F13</f>
        <v>46025</v>
      </c>
      <c r="G14" s="14"/>
      <c r="H14" s="14">
        <f t="shared" si="3"/>
        <v>7</v>
      </c>
      <c r="I14" s="26"/>
      <c r="J14" s="26"/>
      <c r="K14" s="26"/>
      <c r="L14" s="26"/>
      <c r="M14" s="26"/>
      <c r="N14" s="26"/>
      <c r="O14" s="26"/>
      <c r="P14" s="26"/>
      <c r="Q14" s="26"/>
      <c r="R14" s="26"/>
      <c r="S14" s="26"/>
      <c r="T14" s="26"/>
      <c r="U14" s="27"/>
      <c r="V14" s="27"/>
      <c r="W14" s="26"/>
      <c r="X14" s="26"/>
      <c r="Y14" s="26"/>
      <c r="Z14" s="26"/>
      <c r="AA14" s="26"/>
      <c r="AB14" s="26"/>
      <c r="AC14" s="26"/>
      <c r="AD14" s="26"/>
      <c r="AE14" s="26"/>
      <c r="AF14" s="26"/>
      <c r="AG14" s="26"/>
      <c r="AH14" s="26"/>
    </row>
    <row r="15" spans="1:34" s="3" customFormat="1" ht="30" customHeight="1" thickBot="1" x14ac:dyDescent="0.5">
      <c r="A15" s="29"/>
      <c r="B15" s="46" t="s">
        <v>33</v>
      </c>
      <c r="C15" s="39" t="s">
        <v>44</v>
      </c>
      <c r="D15" s="20">
        <v>1</v>
      </c>
      <c r="E15" s="66">
        <f>E12</f>
        <v>46019</v>
      </c>
      <c r="F15" s="66">
        <f>F14</f>
        <v>46025</v>
      </c>
      <c r="G15" s="14"/>
      <c r="H15" s="14">
        <f t="shared" si="3"/>
        <v>7</v>
      </c>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row>
    <row r="16" spans="1:34" s="3" customFormat="1" ht="30" customHeight="1" thickBot="1" x14ac:dyDescent="0.5">
      <c r="A16" s="29"/>
      <c r="B16" s="46" t="s">
        <v>34</v>
      </c>
      <c r="C16" s="39" t="s">
        <v>45</v>
      </c>
      <c r="D16" s="20">
        <v>1</v>
      </c>
      <c r="E16" s="66">
        <f>E15</f>
        <v>46019</v>
      </c>
      <c r="F16" s="66">
        <f>F15</f>
        <v>46025</v>
      </c>
      <c r="G16" s="14"/>
      <c r="H16" s="14">
        <f t="shared" si="3"/>
        <v>7</v>
      </c>
      <c r="I16" s="26"/>
      <c r="J16" s="26"/>
      <c r="K16" s="26"/>
      <c r="L16" s="26"/>
      <c r="M16" s="26"/>
      <c r="N16" s="26"/>
      <c r="O16" s="26"/>
      <c r="P16" s="26"/>
      <c r="Q16" s="26"/>
      <c r="R16" s="26"/>
      <c r="S16" s="26"/>
      <c r="T16" s="26"/>
      <c r="U16" s="26"/>
      <c r="V16" s="26"/>
      <c r="W16" s="26"/>
      <c r="X16" s="26"/>
      <c r="Y16" s="27"/>
      <c r="Z16" s="26"/>
      <c r="AA16" s="26"/>
      <c r="AB16" s="26"/>
      <c r="AC16" s="26"/>
      <c r="AD16" s="26"/>
      <c r="AE16" s="26"/>
      <c r="AF16" s="26"/>
      <c r="AG16" s="26"/>
      <c r="AH16" s="26"/>
    </row>
    <row r="17" spans="1:34" s="3" customFormat="1" ht="30" customHeight="1" thickBot="1" x14ac:dyDescent="0.5">
      <c r="A17" s="29"/>
      <c r="B17" s="46" t="s">
        <v>35</v>
      </c>
      <c r="C17" s="39" t="s">
        <v>43</v>
      </c>
      <c r="D17" s="20">
        <v>1</v>
      </c>
      <c r="E17" s="66">
        <f>DATE(2026,1,3)</f>
        <v>46025</v>
      </c>
      <c r="F17" s="66">
        <f>E17+1</f>
        <v>46026</v>
      </c>
      <c r="G17" s="14"/>
      <c r="H17" s="14">
        <f t="shared" si="3"/>
        <v>2</v>
      </c>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row>
    <row r="18" spans="1:34" s="3" customFormat="1" ht="30" customHeight="1" thickBot="1" x14ac:dyDescent="0.5">
      <c r="A18" s="29" t="s">
        <v>11</v>
      </c>
      <c r="B18" s="21" t="s">
        <v>36</v>
      </c>
      <c r="C18" s="40"/>
      <c r="D18" s="22"/>
      <c r="E18" s="57">
        <f>F17</f>
        <v>46026</v>
      </c>
      <c r="F18" s="58">
        <f>F20</f>
        <v>46033</v>
      </c>
      <c r="G18" s="14"/>
      <c r="H18" s="14">
        <f t="shared" si="3"/>
        <v>8</v>
      </c>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row>
    <row r="19" spans="1:34" s="3" customFormat="1" ht="30" customHeight="1" thickBot="1" x14ac:dyDescent="0.5">
      <c r="A19" s="29"/>
      <c r="B19" s="47" t="s">
        <v>37</v>
      </c>
      <c r="C19" s="41" t="s">
        <v>45</v>
      </c>
      <c r="D19" s="71">
        <v>1</v>
      </c>
      <c r="E19" s="59">
        <f>E18</f>
        <v>46026</v>
      </c>
      <c r="F19" s="59">
        <f>E19+2</f>
        <v>46028</v>
      </c>
      <c r="G19" s="14"/>
      <c r="H19" s="14">
        <f t="shared" si="3"/>
        <v>3</v>
      </c>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row>
    <row r="20" spans="1:34" s="3" customFormat="1" ht="30" customHeight="1" thickBot="1" x14ac:dyDescent="0.5">
      <c r="A20" s="29"/>
      <c r="B20" s="47" t="s">
        <v>38</v>
      </c>
      <c r="C20" s="41" t="s">
        <v>45</v>
      </c>
      <c r="D20" s="71">
        <v>0.5</v>
      </c>
      <c r="E20" s="59">
        <f>E18</f>
        <v>46026</v>
      </c>
      <c r="F20" s="59">
        <f>E20+7</f>
        <v>46033</v>
      </c>
      <c r="G20" s="14"/>
      <c r="H20" s="14">
        <f t="shared" si="3"/>
        <v>8</v>
      </c>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row>
    <row r="21" spans="1:34" s="3" customFormat="1" ht="30" customHeight="1" thickBot="1" x14ac:dyDescent="0.5">
      <c r="A21" s="29" t="s">
        <v>11</v>
      </c>
      <c r="B21" s="23" t="s">
        <v>39</v>
      </c>
      <c r="C21" s="42"/>
      <c r="D21" s="24"/>
      <c r="E21" s="60">
        <f>F20</f>
        <v>46033</v>
      </c>
      <c r="F21" s="61">
        <f>F20+4</f>
        <v>46037</v>
      </c>
      <c r="G21" s="14"/>
      <c r="H21" s="14">
        <f t="shared" si="3"/>
        <v>5</v>
      </c>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row>
    <row r="22" spans="1:34" s="3" customFormat="1" ht="30" customHeight="1" thickBot="1" x14ac:dyDescent="0.5">
      <c r="A22" s="29"/>
      <c r="B22" s="48" t="s">
        <v>40</v>
      </c>
      <c r="C22" s="43" t="s">
        <v>45</v>
      </c>
      <c r="D22" s="25">
        <v>1</v>
      </c>
      <c r="E22" s="60">
        <f>E9</f>
        <v>46012</v>
      </c>
      <c r="F22" s="61">
        <f>F21</f>
        <v>46037</v>
      </c>
      <c r="G22" s="14"/>
      <c r="H22" s="14">
        <f t="shared" si="3"/>
        <v>26</v>
      </c>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row>
    <row r="23" spans="1:34" s="3" customFormat="1" ht="30" customHeight="1" thickBot="1" x14ac:dyDescent="0.5">
      <c r="A23" s="29"/>
      <c r="B23" s="48" t="s">
        <v>41</v>
      </c>
      <c r="C23" s="43"/>
      <c r="D23" s="25">
        <v>1</v>
      </c>
      <c r="E23" s="60">
        <f>E22</f>
        <v>46012</v>
      </c>
      <c r="F23" s="61">
        <f>F22</f>
        <v>46037</v>
      </c>
      <c r="G23" s="14"/>
      <c r="H23" s="14">
        <f t="shared" si="3"/>
        <v>26</v>
      </c>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row>
    <row r="24" spans="1:34" s="3" customFormat="1" ht="30" customHeight="1" thickBot="1" x14ac:dyDescent="0.5">
      <c r="A24" s="29" t="s">
        <v>12</v>
      </c>
      <c r="B24" s="49"/>
      <c r="C24" s="44"/>
      <c r="D24" s="13"/>
      <c r="E24" s="67"/>
      <c r="F24" s="67"/>
      <c r="G24" s="14"/>
      <c r="H24" s="14" t="str">
        <f t="shared" si="3"/>
        <v/>
      </c>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row>
    <row r="25" spans="1:34" ht="30" customHeight="1" x14ac:dyDescent="0.45">
      <c r="G25" s="6"/>
    </row>
    <row r="26" spans="1:34" ht="30" customHeight="1" x14ac:dyDescent="0.45">
      <c r="C26" s="11"/>
      <c r="F26" s="31"/>
    </row>
    <row r="27" spans="1:34" ht="30" customHeight="1" x14ac:dyDescent="0.45">
      <c r="C27" s="12"/>
    </row>
  </sheetData>
  <mergeCells count="7">
    <mergeCell ref="W4:AC4"/>
    <mergeCell ref="AD4:AH4"/>
    <mergeCell ref="C3:D3"/>
    <mergeCell ref="C4:D4"/>
    <mergeCell ref="E3:F3"/>
    <mergeCell ref="I4:O4"/>
    <mergeCell ref="P4:V4"/>
  </mergeCells>
  <conditionalFormatting sqref="D7:D18 D21:D24">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AG24">
    <cfRule type="expression" dxfId="4" priority="33">
      <formula>AND(TODAY()&gt;=I$5,TODAY()&lt;J$5)</formula>
    </cfRule>
  </conditionalFormatting>
  <conditionalFormatting sqref="I7:AG24">
    <cfRule type="expression" dxfId="3" priority="28" stopIfTrue="1">
      <formula>AND(task_end&gt;=I$5,task_start&lt;J$5)</formula>
    </cfRule>
  </conditionalFormatting>
  <conditionalFormatting sqref="I7:AH24">
    <cfRule type="expression" dxfId="2" priority="27">
      <formula>AND(task_start&lt;=I$5,ROUNDDOWN((task_end-task_start+1)*task_progress,0)+task_start-1&gt;=I$5)</formula>
    </cfRule>
  </conditionalFormatting>
  <conditionalFormatting sqref="AH5:AH24 Y12:AG12">
    <cfRule type="expression" dxfId="1" priority="35">
      <formula>AND(TODAY()&gt;=Y$5,TODAY()&lt;#REF!)</formula>
    </cfRule>
  </conditionalFormatting>
  <conditionalFormatting sqref="AH7:AH24 Y12:AG12">
    <cfRule type="expression" dxfId="0" priority="39" stopIfTrue="1">
      <formula>AND(task_end&gt;=Y$5,task_start&lt;#REF!)</formula>
    </cfRule>
  </conditionalFormatting>
  <dataValidations count="1">
    <dataValidation type="whole" operator="greaterThanOrEqual" allowBlank="1" showInputMessage="1" promptTitle="Mostrar semana" prompt="Al cambiar este número, se desplazará la vista del diagrama de Gantt." sqref="E4" xr:uid="{00000000-0002-0000-0000-000000000000}">
      <formula1>1</formula1>
    </dataValidation>
  </dataValidations>
  <hyperlinks>
    <hyperlink ref="I1" r:id="rId1" display="GRÁFICO GANTT SIMPLE de Vertex42.com" xr:uid="{00000000-0004-0000-0000-000001000000}"/>
  </hyperlinks>
  <printOptions horizontalCentered="1"/>
  <pageMargins left="0.35" right="0.35" top="0.35" bottom="0.5" header="0.3" footer="0.3"/>
  <pageSetup paperSize="9" scale="50" fitToHeight="0" orientation="landscape" r:id="rId2"/>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D7:D18 D21:D24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4A34E49-7289-4AEA-9593-4F55E04ADB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6</vt:i4>
      </vt:variant>
    </vt:vector>
  </HeadingPairs>
  <TitlesOfParts>
    <vt:vector size="7" baseType="lpstr">
      <vt:lpstr>ProjectSchedule</vt:lpstr>
      <vt:lpstr>Inicio_del_proyecto</vt:lpstr>
      <vt:lpstr>Semana_para_mostrar</vt:lpstr>
      <vt:lpstr>ProjectSchedule!task_end</vt:lpstr>
      <vt:lpstr>ProjectSchedule!task_progress</vt:lpstr>
      <vt:lpstr>ProjectSchedule!task_start</vt:lpstr>
      <vt:lpstr>ProjectSchedule!Títulos_a_imprimir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2026-01-15T15:27:37Z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